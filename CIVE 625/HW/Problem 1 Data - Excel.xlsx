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lostate-my.sharepoint.com/personal/alextd_colostate_edu/Documents/Fort Collins/Courses/Spring 2024/CIVE 625/Homework/HW_2/"/>
    </mc:Choice>
  </mc:AlternateContent>
  <xr:revisionPtr revIDLastSave="29" documentId="8_{BAB58E2E-2C68-40A6-B3B5-16ECAF976247}" xr6:coauthVersionLast="47" xr6:coauthVersionMax="47" xr10:uidLastSave="{DDEAC435-D058-41AE-9B44-BFB4FA185413}"/>
  <bookViews>
    <workbookView xWindow="-120" yWindow="-120" windowWidth="29040" windowHeight="15720" xr2:uid="{14399377-FD7D-45E9-83C3-C2A0390E88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4" i="1"/>
</calcChain>
</file>

<file path=xl/sharedStrings.xml><?xml version="1.0" encoding="utf-8"?>
<sst xmlns="http://schemas.openxmlformats.org/spreadsheetml/2006/main" count="15" uniqueCount="12">
  <si>
    <t>Time</t>
  </si>
  <si>
    <t>w</t>
  </si>
  <si>
    <t>T</t>
  </si>
  <si>
    <t>q</t>
  </si>
  <si>
    <t>(sec)</t>
  </si>
  <si>
    <r>
      <t>(m s</t>
    </r>
    <r>
      <rPr>
        <vertAlign val="superscript"/>
        <sz val="11"/>
        <color rgb="FF000000"/>
        <rFont val="Calibri Light"/>
        <family val="2"/>
      </rPr>
      <t>-1</t>
    </r>
    <r>
      <rPr>
        <sz val="11"/>
        <color rgb="FF000000"/>
        <rFont val="Calibri Light"/>
        <family val="2"/>
      </rPr>
      <t>)</t>
    </r>
  </si>
  <si>
    <t>w'</t>
  </si>
  <si>
    <t>(deg C)</t>
  </si>
  <si>
    <t>(kg kg-1)</t>
  </si>
  <si>
    <t>T'</t>
  </si>
  <si>
    <t>q'</t>
  </si>
  <si>
    <t>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</si>
</sst>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 Light"/>
      <family val="2"/>
    </font>
    <font>
      <i/>
      <sz val="11"/>
      <color rgb="FF000000"/>
      <name val="Calibri Light"/>
      <family val="2"/>
    </font>
    <font>
      <vertAlign val="superscript"/>
      <sz val="11"/>
      <color rgb="FF000000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231AC-AB98-4C66-BA26-C7782EACFF29}">
  <dimension ref="A1:G63"/>
  <sheetViews>
    <sheetView tabSelected="1" workbookViewId="0">
      <selection activeCell="E1" sqref="E1:G1"/>
    </sheetView>
  </sheetViews>
  <sheetFormatPr defaultRowHeight="15" x14ac:dyDescent="0.25"/>
  <sheetData>
    <row r="1" spans="1:7" ht="15.75" thickBot="1" x14ac:dyDescent="0.3">
      <c r="E1" s="17" t="s">
        <v>11</v>
      </c>
      <c r="F1" s="17"/>
      <c r="G1" s="17"/>
    </row>
    <row r="2" spans="1:7" ht="15.75" thickTop="1" x14ac:dyDescent="0.25">
      <c r="A2" s="1" t="s">
        <v>0</v>
      </c>
      <c r="B2" s="2" t="s">
        <v>1</v>
      </c>
      <c r="C2" s="2" t="s">
        <v>2</v>
      </c>
      <c r="D2" s="3" t="s">
        <v>3</v>
      </c>
      <c r="E2" s="13" t="s">
        <v>6</v>
      </c>
      <c r="F2" s="13" t="s">
        <v>9</v>
      </c>
      <c r="G2" s="14" t="s">
        <v>10</v>
      </c>
    </row>
    <row r="3" spans="1:7" ht="18" thickBot="1" x14ac:dyDescent="0.3">
      <c r="A3" s="4" t="s">
        <v>4</v>
      </c>
      <c r="B3" s="5" t="s">
        <v>5</v>
      </c>
      <c r="C3" s="5" t="s">
        <v>7</v>
      </c>
      <c r="D3" s="6" t="s">
        <v>8</v>
      </c>
      <c r="E3" s="15" t="s">
        <v>5</v>
      </c>
      <c r="F3" s="15" t="s">
        <v>7</v>
      </c>
      <c r="G3" s="16" t="s">
        <v>8</v>
      </c>
    </row>
    <row r="4" spans="1:7" x14ac:dyDescent="0.25">
      <c r="A4" s="10">
        <v>0.5</v>
      </c>
      <c r="B4" s="10">
        <v>0.21</v>
      </c>
      <c r="C4" s="10">
        <v>19.940999999999999</v>
      </c>
      <c r="D4" s="7">
        <v>5.1970000000000002E-2</v>
      </c>
      <c r="E4" s="10">
        <f>AVERAGE($B$4:$B$63)-B4</f>
        <v>-0.2485</v>
      </c>
      <c r="F4" s="10">
        <f>AVERAGE($C$4:$C$63)-C4</f>
        <v>8.0683333333336549E-2</v>
      </c>
      <c r="G4" s="7">
        <f>AVERAGE($D$4:$D$63)-D4</f>
        <v>-1.8011666666666593E-3</v>
      </c>
    </row>
    <row r="5" spans="1:7" x14ac:dyDescent="0.25">
      <c r="A5" s="11">
        <v>1.5</v>
      </c>
      <c r="B5" s="11">
        <v>-0.15</v>
      </c>
      <c r="C5" s="11">
        <v>18.981999999999999</v>
      </c>
      <c r="D5" s="8">
        <v>5.0189999999999999E-2</v>
      </c>
      <c r="E5" s="11">
        <f t="shared" ref="E5:E63" si="0">AVERAGE($B$4:$B$63)-B5</f>
        <v>0.1115</v>
      </c>
      <c r="F5" s="11">
        <f t="shared" ref="F5:F63" si="1">AVERAGE($C$4:$C$63)-C5</f>
        <v>1.0396833333333362</v>
      </c>
      <c r="G5" s="8">
        <f t="shared" ref="G5:G63" si="2">AVERAGE($D$4:$D$63)-D5</f>
        <v>-2.1166666666655454E-5</v>
      </c>
    </row>
    <row r="6" spans="1:7" x14ac:dyDescent="0.25">
      <c r="A6" s="11">
        <v>2.5</v>
      </c>
      <c r="B6" s="11">
        <v>-0.44</v>
      </c>
      <c r="C6" s="11">
        <v>19.437999999999999</v>
      </c>
      <c r="D6" s="8">
        <v>5.0860000000000002E-2</v>
      </c>
      <c r="E6" s="11">
        <f t="shared" si="0"/>
        <v>0.40150000000000002</v>
      </c>
      <c r="F6" s="11">
        <f t="shared" si="1"/>
        <v>0.58368333333333666</v>
      </c>
      <c r="G6" s="8">
        <f t="shared" si="2"/>
        <v>-6.9116666666665938E-4</v>
      </c>
    </row>
    <row r="7" spans="1:7" x14ac:dyDescent="0.25">
      <c r="A7" s="11">
        <v>3.5</v>
      </c>
      <c r="B7" s="11">
        <v>-0.78</v>
      </c>
      <c r="C7" s="11">
        <v>18.219000000000001</v>
      </c>
      <c r="D7" s="8">
        <v>5.0410000000000003E-2</v>
      </c>
      <c r="E7" s="11">
        <f t="shared" si="0"/>
        <v>0.74150000000000005</v>
      </c>
      <c r="F7" s="11">
        <f t="shared" si="1"/>
        <v>1.8026833333333343</v>
      </c>
      <c r="G7" s="8">
        <f t="shared" si="2"/>
        <v>-2.4116666666666037E-4</v>
      </c>
    </row>
    <row r="8" spans="1:7" x14ac:dyDescent="0.25">
      <c r="A8" s="11">
        <v>4.5</v>
      </c>
      <c r="B8" s="11">
        <v>0.39</v>
      </c>
      <c r="C8" s="11">
        <v>20.86</v>
      </c>
      <c r="D8" s="8">
        <v>4.8930000000000001E-2</v>
      </c>
      <c r="E8" s="11">
        <f t="shared" si="0"/>
        <v>-0.42849999999999999</v>
      </c>
      <c r="F8" s="11">
        <f t="shared" si="1"/>
        <v>-0.83831666666666393</v>
      </c>
      <c r="G8" s="8">
        <f t="shared" si="2"/>
        <v>1.2388333333333418E-3</v>
      </c>
    </row>
    <row r="9" spans="1:7" x14ac:dyDescent="0.25">
      <c r="A9" s="11">
        <v>5.5</v>
      </c>
      <c r="B9" s="11">
        <v>-1.96</v>
      </c>
      <c r="C9" s="11">
        <v>19.305</v>
      </c>
      <c r="D9" s="8">
        <v>5.008E-2</v>
      </c>
      <c r="E9" s="11">
        <f t="shared" si="0"/>
        <v>1.9215</v>
      </c>
      <c r="F9" s="11">
        <f t="shared" si="1"/>
        <v>0.71668333333333578</v>
      </c>
      <c r="G9" s="8">
        <f t="shared" si="2"/>
        <v>8.8833333333343534E-5</v>
      </c>
    </row>
    <row r="10" spans="1:7" x14ac:dyDescent="0.25">
      <c r="A10" s="11">
        <v>6.5</v>
      </c>
      <c r="B10" s="11">
        <v>0.99</v>
      </c>
      <c r="C10" s="11">
        <v>19.814</v>
      </c>
      <c r="D10" s="8">
        <v>4.7160000000000001E-2</v>
      </c>
      <c r="E10" s="11">
        <f t="shared" si="0"/>
        <v>-1.0285</v>
      </c>
      <c r="F10" s="11">
        <f t="shared" si="1"/>
        <v>0.20768333333333544</v>
      </c>
      <c r="G10" s="8">
        <f t="shared" si="2"/>
        <v>3.0088333333333425E-3</v>
      </c>
    </row>
    <row r="11" spans="1:7" x14ac:dyDescent="0.25">
      <c r="A11" s="11">
        <v>7.5</v>
      </c>
      <c r="B11" s="11">
        <v>-0.02</v>
      </c>
      <c r="C11" s="11">
        <v>17.8</v>
      </c>
      <c r="D11" s="8">
        <v>4.9709999999999997E-2</v>
      </c>
      <c r="E11" s="11">
        <f t="shared" si="0"/>
        <v>-1.8499999999999992E-2</v>
      </c>
      <c r="F11" s="11">
        <f t="shared" si="1"/>
        <v>2.2216833333333348</v>
      </c>
      <c r="G11" s="8">
        <f t="shared" si="2"/>
        <v>4.5883333333334581E-4</v>
      </c>
    </row>
    <row r="12" spans="1:7" x14ac:dyDescent="0.25">
      <c r="A12" s="11">
        <v>8.5</v>
      </c>
      <c r="B12" s="11">
        <v>-0.62</v>
      </c>
      <c r="C12" s="11">
        <v>21.356999999999999</v>
      </c>
      <c r="D12" s="8">
        <v>5.0259999999999999E-2</v>
      </c>
      <c r="E12" s="11">
        <f t="shared" si="0"/>
        <v>0.58150000000000002</v>
      </c>
      <c r="F12" s="11">
        <f t="shared" si="1"/>
        <v>-1.3353166666666638</v>
      </c>
      <c r="G12" s="8">
        <f t="shared" si="2"/>
        <v>-9.1166666666656071E-5</v>
      </c>
    </row>
    <row r="13" spans="1:7" x14ac:dyDescent="0.25">
      <c r="A13" s="11">
        <v>9.5</v>
      </c>
      <c r="B13" s="11">
        <v>-0.73</v>
      </c>
      <c r="C13" s="11">
        <v>19.228000000000002</v>
      </c>
      <c r="D13" s="8">
        <v>5.0659999999999997E-2</v>
      </c>
      <c r="E13" s="11">
        <f t="shared" si="0"/>
        <v>0.6915</v>
      </c>
      <c r="F13" s="11">
        <f t="shared" si="1"/>
        <v>0.79368333333333396</v>
      </c>
      <c r="G13" s="8">
        <f t="shared" si="2"/>
        <v>-4.9116666666665365E-4</v>
      </c>
    </row>
    <row r="14" spans="1:7" x14ac:dyDescent="0.25">
      <c r="A14" s="11">
        <v>10.5</v>
      </c>
      <c r="B14" s="11">
        <v>-0.81</v>
      </c>
      <c r="C14" s="11">
        <v>19.042000000000002</v>
      </c>
      <c r="D14" s="8">
        <v>4.9790000000000001E-2</v>
      </c>
      <c r="E14" s="11">
        <f t="shared" si="0"/>
        <v>0.77150000000000007</v>
      </c>
      <c r="F14" s="11">
        <f t="shared" si="1"/>
        <v>0.97968333333333391</v>
      </c>
      <c r="G14" s="8">
        <f t="shared" si="2"/>
        <v>3.7883333333334213E-4</v>
      </c>
    </row>
    <row r="15" spans="1:7" x14ac:dyDescent="0.25">
      <c r="A15" s="11">
        <v>11.5</v>
      </c>
      <c r="B15" s="11">
        <v>-0.09</v>
      </c>
      <c r="C15" s="11">
        <v>19.001999999999999</v>
      </c>
      <c r="D15" s="8">
        <v>4.9340000000000002E-2</v>
      </c>
      <c r="E15" s="11">
        <f t="shared" si="0"/>
        <v>5.1500000000000004E-2</v>
      </c>
      <c r="F15" s="11">
        <f t="shared" si="1"/>
        <v>1.0196833333333366</v>
      </c>
      <c r="G15" s="8">
        <f t="shared" si="2"/>
        <v>8.2883333333334114E-4</v>
      </c>
    </row>
    <row r="16" spans="1:7" x14ac:dyDescent="0.25">
      <c r="A16" s="11">
        <v>12.5</v>
      </c>
      <c r="B16" s="11">
        <v>1.4</v>
      </c>
      <c r="C16" s="11">
        <v>19.382000000000001</v>
      </c>
      <c r="D16" s="8">
        <v>5.169E-2</v>
      </c>
      <c r="E16" s="11">
        <f t="shared" si="0"/>
        <v>-1.4384999999999999</v>
      </c>
      <c r="F16" s="11">
        <f t="shared" si="1"/>
        <v>0.63968333333333405</v>
      </c>
      <c r="G16" s="8">
        <f t="shared" si="2"/>
        <v>-1.5211666666666568E-3</v>
      </c>
    </row>
    <row r="17" spans="1:7" x14ac:dyDescent="0.25">
      <c r="A17" s="11">
        <v>13.5</v>
      </c>
      <c r="B17" s="11">
        <v>-0.56999999999999995</v>
      </c>
      <c r="C17" s="11">
        <v>20.158999999999999</v>
      </c>
      <c r="D17" s="8">
        <v>5.0119999999999998E-2</v>
      </c>
      <c r="E17" s="11">
        <f t="shared" si="0"/>
        <v>0.53149999999999997</v>
      </c>
      <c r="F17" s="11">
        <f t="shared" si="1"/>
        <v>-0.13731666666666342</v>
      </c>
      <c r="G17" s="8">
        <f t="shared" si="2"/>
        <v>4.8833333333345164E-5</v>
      </c>
    </row>
    <row r="18" spans="1:7" x14ac:dyDescent="0.25">
      <c r="A18" s="11">
        <v>14.5</v>
      </c>
      <c r="B18" s="11">
        <v>0.08</v>
      </c>
      <c r="C18" s="11">
        <v>19.401</v>
      </c>
      <c r="D18" s="8">
        <v>5.0119999999999998E-2</v>
      </c>
      <c r="E18" s="11">
        <f t="shared" si="0"/>
        <v>-0.11849999999999999</v>
      </c>
      <c r="F18" s="11">
        <f t="shared" si="1"/>
        <v>0.6206833333333357</v>
      </c>
      <c r="G18" s="8">
        <f t="shared" si="2"/>
        <v>4.8833333333345164E-5</v>
      </c>
    </row>
    <row r="19" spans="1:7" x14ac:dyDescent="0.25">
      <c r="A19" s="11">
        <v>15.5</v>
      </c>
      <c r="B19" s="11">
        <v>1.69</v>
      </c>
      <c r="C19" s="11">
        <v>20.399999999999999</v>
      </c>
      <c r="D19" s="8">
        <v>5.0959999999999998E-2</v>
      </c>
      <c r="E19" s="11">
        <f t="shared" si="0"/>
        <v>-1.7284999999999999</v>
      </c>
      <c r="F19" s="11">
        <f t="shared" si="1"/>
        <v>-0.37831666666666308</v>
      </c>
      <c r="G19" s="8">
        <f t="shared" si="2"/>
        <v>-7.911666666666553E-4</v>
      </c>
    </row>
    <row r="20" spans="1:7" x14ac:dyDescent="0.25">
      <c r="A20" s="11">
        <v>16.5</v>
      </c>
      <c r="B20" s="11">
        <v>0.56000000000000005</v>
      </c>
      <c r="C20" s="11">
        <v>20.917000000000002</v>
      </c>
      <c r="D20" s="8">
        <v>5.006E-2</v>
      </c>
      <c r="E20" s="11">
        <f t="shared" si="0"/>
        <v>-0.59850000000000003</v>
      </c>
      <c r="F20" s="11">
        <f t="shared" si="1"/>
        <v>-0.89531666666666609</v>
      </c>
      <c r="G20" s="8">
        <f t="shared" si="2"/>
        <v>1.0883333333334272E-4</v>
      </c>
    </row>
    <row r="21" spans="1:7" x14ac:dyDescent="0.25">
      <c r="A21" s="11">
        <v>17.5</v>
      </c>
      <c r="B21" s="11">
        <v>0.37</v>
      </c>
      <c r="C21" s="11">
        <v>21.536999999999999</v>
      </c>
      <c r="D21" s="8">
        <v>5.0369999999999998E-2</v>
      </c>
      <c r="E21" s="11">
        <f t="shared" si="0"/>
        <v>-0.40849999999999997</v>
      </c>
      <c r="F21" s="11">
        <f t="shared" si="1"/>
        <v>-1.5153166666666635</v>
      </c>
      <c r="G21" s="8">
        <f t="shared" si="2"/>
        <v>-2.0116666666665506E-4</v>
      </c>
    </row>
    <row r="22" spans="1:7" x14ac:dyDescent="0.25">
      <c r="A22" s="11">
        <v>18.5</v>
      </c>
      <c r="B22" s="11">
        <v>0.21</v>
      </c>
      <c r="C22" s="11">
        <v>21.167999999999999</v>
      </c>
      <c r="D22" s="8">
        <v>5.2150000000000002E-2</v>
      </c>
      <c r="E22" s="11">
        <f t="shared" si="0"/>
        <v>-0.2485</v>
      </c>
      <c r="F22" s="11">
        <f t="shared" si="1"/>
        <v>-1.1463166666666638</v>
      </c>
      <c r="G22" s="8">
        <f t="shared" si="2"/>
        <v>-1.9811666666666589E-3</v>
      </c>
    </row>
    <row r="23" spans="1:7" x14ac:dyDescent="0.25">
      <c r="A23" s="11">
        <v>19.5</v>
      </c>
      <c r="B23" s="11">
        <v>0.71</v>
      </c>
      <c r="C23" s="11">
        <v>21.73</v>
      </c>
      <c r="D23" s="8">
        <v>4.9939999999999998E-2</v>
      </c>
      <c r="E23" s="11">
        <f t="shared" si="0"/>
        <v>-0.74849999999999994</v>
      </c>
      <c r="F23" s="11">
        <f t="shared" si="1"/>
        <v>-1.7083166666666649</v>
      </c>
      <c r="G23" s="8">
        <f t="shared" si="2"/>
        <v>2.2883333333334477E-4</v>
      </c>
    </row>
    <row r="24" spans="1:7" x14ac:dyDescent="0.25">
      <c r="A24" s="11">
        <v>20.5</v>
      </c>
      <c r="B24" s="11">
        <v>0.36</v>
      </c>
      <c r="C24" s="11">
        <v>20.9</v>
      </c>
      <c r="D24" s="8">
        <v>4.9500000000000002E-2</v>
      </c>
      <c r="E24" s="11">
        <f t="shared" si="0"/>
        <v>-0.39849999999999997</v>
      </c>
      <c r="F24" s="11">
        <f t="shared" si="1"/>
        <v>-0.87831666666666308</v>
      </c>
      <c r="G24" s="8">
        <f t="shared" si="2"/>
        <v>6.6883333333334072E-4</v>
      </c>
    </row>
    <row r="25" spans="1:7" x14ac:dyDescent="0.25">
      <c r="A25" s="11">
        <v>21.5</v>
      </c>
      <c r="B25" s="11">
        <v>-0.88</v>
      </c>
      <c r="C25" s="11">
        <v>20.672999999999998</v>
      </c>
      <c r="D25" s="8">
        <v>5.1049999999999998E-2</v>
      </c>
      <c r="E25" s="11">
        <f t="shared" si="0"/>
        <v>0.84150000000000003</v>
      </c>
      <c r="F25" s="11">
        <f t="shared" si="1"/>
        <v>-0.65131666666666277</v>
      </c>
      <c r="G25" s="8">
        <f t="shared" si="2"/>
        <v>-8.8116666666665511E-4</v>
      </c>
    </row>
    <row r="26" spans="1:7" x14ac:dyDescent="0.25">
      <c r="A26" s="11">
        <v>22.5</v>
      </c>
      <c r="B26" s="11">
        <v>-0.95</v>
      </c>
      <c r="C26" s="11">
        <v>20.082000000000001</v>
      </c>
      <c r="D26" s="8">
        <v>4.9419999999999999E-2</v>
      </c>
      <c r="E26" s="11">
        <f t="shared" si="0"/>
        <v>0.91149999999999998</v>
      </c>
      <c r="F26" s="11">
        <f t="shared" si="1"/>
        <v>-6.0316666666665242E-2</v>
      </c>
      <c r="G26" s="8">
        <f t="shared" si="2"/>
        <v>7.488333333333444E-4</v>
      </c>
    </row>
    <row r="27" spans="1:7" x14ac:dyDescent="0.25">
      <c r="A27" s="11">
        <v>23.5</v>
      </c>
      <c r="B27" s="11">
        <v>0.93</v>
      </c>
      <c r="C27" s="11">
        <v>20.088999999999999</v>
      </c>
      <c r="D27" s="8">
        <v>4.9739999999999999E-2</v>
      </c>
      <c r="E27" s="11">
        <f t="shared" si="0"/>
        <v>-0.96850000000000003</v>
      </c>
      <c r="F27" s="11">
        <f t="shared" si="1"/>
        <v>-6.7316666666663139E-2</v>
      </c>
      <c r="G27" s="8">
        <f t="shared" si="2"/>
        <v>4.2883333333334356E-4</v>
      </c>
    </row>
    <row r="28" spans="1:7" x14ac:dyDescent="0.25">
      <c r="A28" s="11">
        <v>24.5</v>
      </c>
      <c r="B28" s="11">
        <v>-1.86</v>
      </c>
      <c r="C28" s="11">
        <v>20.733000000000001</v>
      </c>
      <c r="D28" s="8">
        <v>4.9869999999999998E-2</v>
      </c>
      <c r="E28" s="11">
        <f t="shared" si="0"/>
        <v>1.8215000000000001</v>
      </c>
      <c r="F28" s="11">
        <f t="shared" si="1"/>
        <v>-0.71131666666666504</v>
      </c>
      <c r="G28" s="8">
        <f t="shared" si="2"/>
        <v>2.9883333333334539E-4</v>
      </c>
    </row>
    <row r="29" spans="1:7" x14ac:dyDescent="0.25">
      <c r="A29" s="11">
        <v>25.5</v>
      </c>
      <c r="B29" s="11">
        <v>0.61</v>
      </c>
      <c r="C29" s="11">
        <v>18.428999999999998</v>
      </c>
      <c r="D29" s="8">
        <v>4.9230000000000003E-2</v>
      </c>
      <c r="E29" s="11">
        <f t="shared" si="0"/>
        <v>-0.64849999999999997</v>
      </c>
      <c r="F29" s="11">
        <f t="shared" si="1"/>
        <v>1.592683333333337</v>
      </c>
      <c r="G29" s="8">
        <f t="shared" si="2"/>
        <v>9.3883333333334013E-4</v>
      </c>
    </row>
    <row r="30" spans="1:7" x14ac:dyDescent="0.25">
      <c r="A30" s="11">
        <v>26.5</v>
      </c>
      <c r="B30" s="11">
        <v>-0.54</v>
      </c>
      <c r="C30" s="11">
        <v>20.574000000000002</v>
      </c>
      <c r="D30" s="8">
        <v>4.9950000000000001E-2</v>
      </c>
      <c r="E30" s="11">
        <f t="shared" si="0"/>
        <v>0.50150000000000006</v>
      </c>
      <c r="F30" s="11">
        <f t="shared" si="1"/>
        <v>-0.55231666666666612</v>
      </c>
      <c r="G30" s="8">
        <f t="shared" si="2"/>
        <v>2.1883333333334171E-4</v>
      </c>
    </row>
    <row r="31" spans="1:7" x14ac:dyDescent="0.25">
      <c r="A31" s="11">
        <v>27.5</v>
      </c>
      <c r="B31" s="11">
        <v>0.86</v>
      </c>
      <c r="C31" s="11">
        <v>19.094000000000001</v>
      </c>
      <c r="D31" s="8">
        <v>5.0349999999999999E-2</v>
      </c>
      <c r="E31" s="11">
        <f t="shared" si="0"/>
        <v>-0.89849999999999997</v>
      </c>
      <c r="F31" s="11">
        <f t="shared" si="1"/>
        <v>0.9276833333333343</v>
      </c>
      <c r="G31" s="8">
        <f t="shared" si="2"/>
        <v>-1.8116666666665587E-4</v>
      </c>
    </row>
    <row r="32" spans="1:7" x14ac:dyDescent="0.25">
      <c r="A32" s="11">
        <v>28.5</v>
      </c>
      <c r="B32" s="11">
        <v>0.6</v>
      </c>
      <c r="C32" s="11">
        <v>20.576000000000001</v>
      </c>
      <c r="D32" s="8">
        <v>4.9660000000000003E-2</v>
      </c>
      <c r="E32" s="11">
        <f t="shared" si="0"/>
        <v>-0.63849999999999996</v>
      </c>
      <c r="F32" s="11">
        <f t="shared" si="1"/>
        <v>-0.55431666666666501</v>
      </c>
      <c r="G32" s="8">
        <f t="shared" si="2"/>
        <v>5.088333333333403E-4</v>
      </c>
    </row>
    <row r="33" spans="1:7" x14ac:dyDescent="0.25">
      <c r="A33" s="11">
        <v>29.5</v>
      </c>
      <c r="B33" s="11">
        <v>0.09</v>
      </c>
      <c r="C33" s="11">
        <v>21.079000000000001</v>
      </c>
      <c r="D33" s="8">
        <v>5.1679999999999997E-2</v>
      </c>
      <c r="E33" s="11">
        <f t="shared" si="0"/>
        <v>-0.1285</v>
      </c>
      <c r="F33" s="11">
        <f t="shared" si="1"/>
        <v>-1.0573166666666651</v>
      </c>
      <c r="G33" s="8">
        <f t="shared" si="2"/>
        <v>-1.5111666666666537E-3</v>
      </c>
    </row>
    <row r="34" spans="1:7" x14ac:dyDescent="0.25">
      <c r="A34" s="11">
        <v>30.5</v>
      </c>
      <c r="B34" s="11">
        <v>-0.95</v>
      </c>
      <c r="C34" s="11">
        <v>19.268000000000001</v>
      </c>
      <c r="D34" s="8">
        <v>5.1029999999999999E-2</v>
      </c>
      <c r="E34" s="11">
        <f t="shared" si="0"/>
        <v>0.91149999999999998</v>
      </c>
      <c r="F34" s="11">
        <f t="shared" si="1"/>
        <v>0.75368333333333482</v>
      </c>
      <c r="G34" s="8">
        <f t="shared" si="2"/>
        <v>-8.6116666666665592E-4</v>
      </c>
    </row>
    <row r="35" spans="1:7" x14ac:dyDescent="0.25">
      <c r="A35" s="11">
        <v>31.5</v>
      </c>
      <c r="B35" s="11">
        <v>-0.28000000000000003</v>
      </c>
      <c r="C35" s="11">
        <v>18.849</v>
      </c>
      <c r="D35" s="8">
        <v>4.827E-2</v>
      </c>
      <c r="E35" s="11">
        <f t="shared" si="0"/>
        <v>0.24150000000000005</v>
      </c>
      <c r="F35" s="11">
        <f t="shared" si="1"/>
        <v>1.1726833333333353</v>
      </c>
      <c r="G35" s="8">
        <f t="shared" si="2"/>
        <v>1.8988333333333426E-3</v>
      </c>
    </row>
    <row r="36" spans="1:7" x14ac:dyDescent="0.25">
      <c r="A36" s="11">
        <v>32.5</v>
      </c>
      <c r="B36" s="11">
        <v>0.38</v>
      </c>
      <c r="C36" s="11">
        <v>19.82</v>
      </c>
      <c r="D36" s="8">
        <v>5.0259999999999999E-2</v>
      </c>
      <c r="E36" s="11">
        <f t="shared" si="0"/>
        <v>-0.41849999999999998</v>
      </c>
      <c r="F36" s="11">
        <f t="shared" si="1"/>
        <v>0.20168333333333521</v>
      </c>
      <c r="G36" s="8">
        <f t="shared" si="2"/>
        <v>-9.1166666666656071E-5</v>
      </c>
    </row>
    <row r="37" spans="1:7" x14ac:dyDescent="0.25">
      <c r="A37" s="11">
        <v>33.5</v>
      </c>
      <c r="B37" s="11">
        <v>-0.3</v>
      </c>
      <c r="C37" s="11">
        <v>19.149999999999999</v>
      </c>
      <c r="D37" s="8">
        <v>5.0259999999999999E-2</v>
      </c>
      <c r="E37" s="11">
        <f t="shared" si="0"/>
        <v>0.26150000000000001</v>
      </c>
      <c r="F37" s="11">
        <f t="shared" si="1"/>
        <v>0.87168333333333692</v>
      </c>
      <c r="G37" s="8">
        <f t="shared" si="2"/>
        <v>-9.1166666666656071E-5</v>
      </c>
    </row>
    <row r="38" spans="1:7" x14ac:dyDescent="0.25">
      <c r="A38" s="11">
        <v>34.5</v>
      </c>
      <c r="B38" s="11">
        <v>0.78</v>
      </c>
      <c r="C38" s="11">
        <v>20.574999999999999</v>
      </c>
      <c r="D38" s="8">
        <v>4.9200000000000001E-2</v>
      </c>
      <c r="E38" s="11">
        <f t="shared" si="0"/>
        <v>-0.81850000000000001</v>
      </c>
      <c r="F38" s="11">
        <f t="shared" si="1"/>
        <v>-0.55331666666666379</v>
      </c>
      <c r="G38" s="8">
        <f t="shared" si="2"/>
        <v>9.6883333333334237E-4</v>
      </c>
    </row>
    <row r="39" spans="1:7" x14ac:dyDescent="0.25">
      <c r="A39" s="11">
        <v>35.5</v>
      </c>
      <c r="B39" s="11">
        <v>-1.32</v>
      </c>
      <c r="C39" s="11">
        <v>19.236000000000001</v>
      </c>
      <c r="D39" s="8">
        <v>5.1159999999999997E-2</v>
      </c>
      <c r="E39" s="11">
        <f t="shared" si="0"/>
        <v>1.2815000000000001</v>
      </c>
      <c r="F39" s="11">
        <f t="shared" si="1"/>
        <v>0.78568333333333484</v>
      </c>
      <c r="G39" s="8">
        <f t="shared" si="2"/>
        <v>-9.9116666666665409E-4</v>
      </c>
    </row>
    <row r="40" spans="1:7" x14ac:dyDescent="0.25">
      <c r="A40" s="11">
        <v>36.5</v>
      </c>
      <c r="B40" s="11">
        <v>-0.86</v>
      </c>
      <c r="C40" s="11">
        <v>18.672999999999998</v>
      </c>
      <c r="D40" s="8">
        <v>4.9029999999999997E-2</v>
      </c>
      <c r="E40" s="11">
        <f t="shared" si="0"/>
        <v>0.82150000000000001</v>
      </c>
      <c r="F40" s="11">
        <f t="shared" si="1"/>
        <v>1.3486833333333372</v>
      </c>
      <c r="G40" s="8">
        <f t="shared" si="2"/>
        <v>1.1388333333333459E-3</v>
      </c>
    </row>
    <row r="41" spans="1:7" x14ac:dyDescent="0.25">
      <c r="A41" s="11">
        <v>37.5</v>
      </c>
      <c r="B41" s="11">
        <v>1.54</v>
      </c>
      <c r="C41" s="11">
        <v>19.667000000000002</v>
      </c>
      <c r="D41" s="8">
        <v>5.0950000000000002E-2</v>
      </c>
      <c r="E41" s="11">
        <f t="shared" si="0"/>
        <v>-1.5785</v>
      </c>
      <c r="F41" s="11">
        <f t="shared" si="1"/>
        <v>0.35468333333333391</v>
      </c>
      <c r="G41" s="8">
        <f t="shared" si="2"/>
        <v>-7.8116666666665918E-4</v>
      </c>
    </row>
    <row r="42" spans="1:7" x14ac:dyDescent="0.25">
      <c r="A42" s="11">
        <v>38.5</v>
      </c>
      <c r="B42" s="11">
        <v>0.27</v>
      </c>
      <c r="C42" s="11">
        <v>21.093</v>
      </c>
      <c r="D42" s="8">
        <v>5.015E-2</v>
      </c>
      <c r="E42" s="11">
        <f t="shared" si="0"/>
        <v>-0.3085</v>
      </c>
      <c r="F42" s="11">
        <f t="shared" si="1"/>
        <v>-1.0713166666666645</v>
      </c>
      <c r="G42" s="8">
        <f t="shared" si="2"/>
        <v>1.8833333333342916E-5</v>
      </c>
    </row>
    <row r="43" spans="1:7" x14ac:dyDescent="0.25">
      <c r="A43" s="11">
        <v>39.5</v>
      </c>
      <c r="B43" s="11">
        <v>0.08</v>
      </c>
      <c r="C43" s="11">
        <v>18.966999999999999</v>
      </c>
      <c r="D43" s="8">
        <v>5.126E-2</v>
      </c>
      <c r="E43" s="11">
        <f t="shared" si="0"/>
        <v>-0.11849999999999999</v>
      </c>
      <c r="F43" s="11">
        <f t="shared" si="1"/>
        <v>1.0546833333333367</v>
      </c>
      <c r="G43" s="8">
        <f t="shared" si="2"/>
        <v>-1.091166666666657E-3</v>
      </c>
    </row>
    <row r="44" spans="1:7" x14ac:dyDescent="0.25">
      <c r="A44" s="11">
        <v>40.5</v>
      </c>
      <c r="B44" s="11">
        <v>0.94</v>
      </c>
      <c r="C44" s="11">
        <v>20.841000000000001</v>
      </c>
      <c r="D44" s="8">
        <v>5.0540000000000002E-2</v>
      </c>
      <c r="E44" s="11">
        <f t="shared" si="0"/>
        <v>-0.97849999999999993</v>
      </c>
      <c r="F44" s="11">
        <f t="shared" si="1"/>
        <v>-0.81931666666666558</v>
      </c>
      <c r="G44" s="8">
        <f t="shared" si="2"/>
        <v>-3.7116666666665854E-4</v>
      </c>
    </row>
    <row r="45" spans="1:7" x14ac:dyDescent="0.25">
      <c r="A45" s="11">
        <v>41.5</v>
      </c>
      <c r="B45" s="11">
        <v>-0.7</v>
      </c>
      <c r="C45" s="11">
        <v>19.71</v>
      </c>
      <c r="D45" s="8">
        <v>4.965E-2</v>
      </c>
      <c r="E45" s="11">
        <f t="shared" si="0"/>
        <v>0.66149999999999998</v>
      </c>
      <c r="F45" s="11">
        <f t="shared" si="1"/>
        <v>0.31168333333333464</v>
      </c>
      <c r="G45" s="8">
        <f t="shared" si="2"/>
        <v>5.1883333333334336E-4</v>
      </c>
    </row>
    <row r="46" spans="1:7" x14ac:dyDescent="0.25">
      <c r="A46" s="11">
        <v>42.5</v>
      </c>
      <c r="B46" s="11">
        <v>-1.1599999999999999</v>
      </c>
      <c r="C46" s="11">
        <v>19.515999999999998</v>
      </c>
      <c r="D46" s="8">
        <v>4.9369999999999997E-2</v>
      </c>
      <c r="E46" s="11">
        <f t="shared" si="0"/>
        <v>1.1214999999999999</v>
      </c>
      <c r="F46" s="11">
        <f t="shared" si="1"/>
        <v>0.50568333333333726</v>
      </c>
      <c r="G46" s="8">
        <f t="shared" si="2"/>
        <v>7.9883333333334583E-4</v>
      </c>
    </row>
    <row r="47" spans="1:7" x14ac:dyDescent="0.25">
      <c r="A47" s="11">
        <v>43.5</v>
      </c>
      <c r="B47" s="11">
        <v>1.95</v>
      </c>
      <c r="C47" s="11">
        <v>19.949000000000002</v>
      </c>
      <c r="D47" s="8">
        <v>5.008E-2</v>
      </c>
      <c r="E47" s="11">
        <f t="shared" si="0"/>
        <v>-1.9884999999999999</v>
      </c>
      <c r="F47" s="11">
        <f t="shared" si="1"/>
        <v>7.2683333333333877E-2</v>
      </c>
      <c r="G47" s="8">
        <f t="shared" si="2"/>
        <v>8.8833333333343534E-5</v>
      </c>
    </row>
    <row r="48" spans="1:7" x14ac:dyDescent="0.25">
      <c r="A48" s="11">
        <v>44.5</v>
      </c>
      <c r="B48" s="11">
        <v>-1.73</v>
      </c>
      <c r="C48" s="11">
        <v>21.114000000000001</v>
      </c>
      <c r="D48" s="8">
        <v>4.9340000000000002E-2</v>
      </c>
      <c r="E48" s="11">
        <f t="shared" si="0"/>
        <v>1.6915</v>
      </c>
      <c r="F48" s="11">
        <f t="shared" si="1"/>
        <v>-1.0923166666666653</v>
      </c>
      <c r="G48" s="8">
        <f t="shared" si="2"/>
        <v>8.2883333333334114E-4</v>
      </c>
    </row>
    <row r="49" spans="1:7" x14ac:dyDescent="0.25">
      <c r="A49" s="11">
        <v>45.5</v>
      </c>
      <c r="B49" s="11">
        <v>-1.42</v>
      </c>
      <c r="C49" s="11">
        <v>19.923999999999999</v>
      </c>
      <c r="D49" s="8">
        <v>4.9239999999999999E-2</v>
      </c>
      <c r="E49" s="11">
        <f t="shared" si="0"/>
        <v>1.3815</v>
      </c>
      <c r="F49" s="11">
        <f t="shared" si="1"/>
        <v>9.7683333333336009E-2</v>
      </c>
      <c r="G49" s="8">
        <f t="shared" si="2"/>
        <v>9.28833333333344E-4</v>
      </c>
    </row>
    <row r="50" spans="1:7" x14ac:dyDescent="0.25">
      <c r="A50" s="11">
        <v>46.5</v>
      </c>
      <c r="B50" s="11">
        <v>-0.76</v>
      </c>
      <c r="C50" s="11">
        <v>20.456</v>
      </c>
      <c r="D50" s="8">
        <v>4.87E-2</v>
      </c>
      <c r="E50" s="11">
        <f t="shared" si="0"/>
        <v>0.72150000000000003</v>
      </c>
      <c r="F50" s="11">
        <f t="shared" si="1"/>
        <v>-0.43431666666666402</v>
      </c>
      <c r="G50" s="8">
        <f t="shared" si="2"/>
        <v>1.4688333333333428E-3</v>
      </c>
    </row>
    <row r="51" spans="1:7" x14ac:dyDescent="0.25">
      <c r="A51" s="11">
        <v>47.5</v>
      </c>
      <c r="B51" s="11">
        <v>-0.68</v>
      </c>
      <c r="C51" s="11">
        <v>21.541</v>
      </c>
      <c r="D51" s="8">
        <v>5.1180000000000003E-2</v>
      </c>
      <c r="E51" s="11">
        <f t="shared" si="0"/>
        <v>0.64150000000000007</v>
      </c>
      <c r="F51" s="11">
        <f t="shared" si="1"/>
        <v>-1.5193166666666649</v>
      </c>
      <c r="G51" s="8">
        <f t="shared" si="2"/>
        <v>-1.0111666666666602E-3</v>
      </c>
    </row>
    <row r="52" spans="1:7" x14ac:dyDescent="0.25">
      <c r="A52" s="11">
        <v>48.5</v>
      </c>
      <c r="B52" s="11">
        <v>0.47</v>
      </c>
      <c r="C52" s="11">
        <v>19.559000000000001</v>
      </c>
      <c r="D52" s="8">
        <v>5.3440000000000001E-2</v>
      </c>
      <c r="E52" s="11">
        <f t="shared" si="0"/>
        <v>-0.50849999999999995</v>
      </c>
      <c r="F52" s="11">
        <f t="shared" si="1"/>
        <v>0.46268333333333445</v>
      </c>
      <c r="G52" s="8">
        <f t="shared" si="2"/>
        <v>-3.2711666666666583E-3</v>
      </c>
    </row>
    <row r="53" spans="1:7" x14ac:dyDescent="0.25">
      <c r="A53" s="11">
        <v>49.5</v>
      </c>
      <c r="B53" s="11">
        <v>0.68</v>
      </c>
      <c r="C53" s="11">
        <v>22.187999999999999</v>
      </c>
      <c r="D53" s="8">
        <v>4.8730000000000002E-2</v>
      </c>
      <c r="E53" s="11">
        <f t="shared" si="0"/>
        <v>-0.71850000000000003</v>
      </c>
      <c r="F53" s="11">
        <f t="shared" si="1"/>
        <v>-2.1663166666666633</v>
      </c>
      <c r="G53" s="8">
        <f t="shared" si="2"/>
        <v>1.4388333333333406E-3</v>
      </c>
    </row>
    <row r="54" spans="1:7" x14ac:dyDescent="0.25">
      <c r="A54" s="11">
        <v>50.5</v>
      </c>
      <c r="B54" s="11">
        <v>0.71</v>
      </c>
      <c r="C54" s="11">
        <v>22.547000000000001</v>
      </c>
      <c r="D54" s="8">
        <v>5.0130000000000001E-2</v>
      </c>
      <c r="E54" s="11">
        <f t="shared" si="0"/>
        <v>-0.74849999999999994</v>
      </c>
      <c r="F54" s="11">
        <f t="shared" si="1"/>
        <v>-2.5253166666666651</v>
      </c>
      <c r="G54" s="8">
        <f t="shared" si="2"/>
        <v>3.8833333333342102E-5</v>
      </c>
    </row>
    <row r="55" spans="1:7" x14ac:dyDescent="0.25">
      <c r="A55" s="11">
        <v>51.5</v>
      </c>
      <c r="B55" s="11">
        <v>-0.45</v>
      </c>
      <c r="C55" s="11">
        <v>20.385000000000002</v>
      </c>
      <c r="D55" s="8">
        <v>5.1499999999999997E-2</v>
      </c>
      <c r="E55" s="11">
        <f t="shared" si="0"/>
        <v>0.41150000000000003</v>
      </c>
      <c r="F55" s="11">
        <f t="shared" si="1"/>
        <v>-0.36331666666666607</v>
      </c>
      <c r="G55" s="8">
        <f t="shared" si="2"/>
        <v>-1.3311666666666541E-3</v>
      </c>
    </row>
    <row r="56" spans="1:7" x14ac:dyDescent="0.25">
      <c r="A56" s="11">
        <v>52.5</v>
      </c>
      <c r="B56" s="11">
        <v>-0.22</v>
      </c>
      <c r="C56" s="11">
        <v>17.667000000000002</v>
      </c>
      <c r="D56" s="8">
        <v>5.0860000000000002E-2</v>
      </c>
      <c r="E56" s="11">
        <f t="shared" si="0"/>
        <v>0.18149999999999999</v>
      </c>
      <c r="F56" s="11">
        <f t="shared" si="1"/>
        <v>2.3546833333333339</v>
      </c>
      <c r="G56" s="8">
        <f t="shared" si="2"/>
        <v>-6.9116666666665938E-4</v>
      </c>
    </row>
    <row r="57" spans="1:7" x14ac:dyDescent="0.25">
      <c r="A57" s="11">
        <v>53.5</v>
      </c>
      <c r="B57" s="11">
        <v>1.8</v>
      </c>
      <c r="C57" s="11">
        <v>19.350000000000001</v>
      </c>
      <c r="D57" s="8">
        <v>5.1389999999999998E-2</v>
      </c>
      <c r="E57" s="11">
        <f t="shared" si="0"/>
        <v>-1.8385</v>
      </c>
      <c r="F57" s="11">
        <f t="shared" si="1"/>
        <v>0.67168333333333408</v>
      </c>
      <c r="G57" s="8">
        <f t="shared" si="2"/>
        <v>-1.2211666666666551E-3</v>
      </c>
    </row>
    <row r="58" spans="1:7" x14ac:dyDescent="0.25">
      <c r="A58" s="11">
        <v>54.5</v>
      </c>
      <c r="B58" s="11">
        <v>0.38</v>
      </c>
      <c r="C58" s="11">
        <v>19.821000000000002</v>
      </c>
      <c r="D58" s="8">
        <v>5.006E-2</v>
      </c>
      <c r="E58" s="11">
        <f t="shared" si="0"/>
        <v>-0.41849999999999998</v>
      </c>
      <c r="F58" s="11">
        <f t="shared" si="1"/>
        <v>0.20068333333333399</v>
      </c>
      <c r="G58" s="8">
        <f t="shared" si="2"/>
        <v>1.0883333333334272E-4</v>
      </c>
    </row>
    <row r="59" spans="1:7" x14ac:dyDescent="0.25">
      <c r="A59" s="11">
        <v>55.5</v>
      </c>
      <c r="B59" s="11">
        <v>-1.86</v>
      </c>
      <c r="C59" s="11">
        <v>20.478000000000002</v>
      </c>
      <c r="D59" s="8">
        <v>5.0299999999999997E-2</v>
      </c>
      <c r="E59" s="11">
        <f t="shared" si="0"/>
        <v>1.8215000000000001</v>
      </c>
      <c r="F59" s="11">
        <f t="shared" si="1"/>
        <v>-0.45631666666666604</v>
      </c>
      <c r="G59" s="8">
        <f t="shared" si="2"/>
        <v>-1.3116666666665444E-4</v>
      </c>
    </row>
    <row r="60" spans="1:7" x14ac:dyDescent="0.25">
      <c r="A60" s="11">
        <v>56.5</v>
      </c>
      <c r="B60" s="11">
        <v>-0.59</v>
      </c>
      <c r="C60" s="11">
        <v>20.846</v>
      </c>
      <c r="D60" s="8">
        <v>4.9439999999999998E-2</v>
      </c>
      <c r="E60" s="11">
        <f t="shared" si="0"/>
        <v>0.55149999999999999</v>
      </c>
      <c r="F60" s="11">
        <f t="shared" si="1"/>
        <v>-0.82431666666666459</v>
      </c>
      <c r="G60" s="8">
        <f t="shared" si="2"/>
        <v>7.2883333333334521E-4</v>
      </c>
    </row>
    <row r="61" spans="1:7" x14ac:dyDescent="0.25">
      <c r="A61" s="11">
        <v>57.5</v>
      </c>
      <c r="B61" s="11">
        <v>1.17</v>
      </c>
      <c r="C61" s="11">
        <v>19.655000000000001</v>
      </c>
      <c r="D61" s="8">
        <v>4.9570000000000003E-2</v>
      </c>
      <c r="E61" s="11">
        <f t="shared" si="0"/>
        <v>-1.2084999999999999</v>
      </c>
      <c r="F61" s="11">
        <f t="shared" si="1"/>
        <v>0.36668333333333436</v>
      </c>
      <c r="G61" s="8">
        <f t="shared" si="2"/>
        <v>5.988333333333401E-4</v>
      </c>
    </row>
    <row r="62" spans="1:7" x14ac:dyDescent="0.25">
      <c r="A62" s="11">
        <v>58.5</v>
      </c>
      <c r="B62" s="11">
        <v>-0.72</v>
      </c>
      <c r="C62" s="11">
        <v>20.184000000000001</v>
      </c>
      <c r="D62" s="8">
        <v>5.0200000000000002E-2</v>
      </c>
      <c r="E62" s="11">
        <f t="shared" si="0"/>
        <v>0.68149999999999999</v>
      </c>
      <c r="F62" s="11">
        <f t="shared" si="1"/>
        <v>-0.16231666666666555</v>
      </c>
      <c r="G62" s="8">
        <f t="shared" si="2"/>
        <v>-3.1166666666658516E-5</v>
      </c>
    </row>
    <row r="63" spans="1:7" ht="15.75" thickBot="1" x14ac:dyDescent="0.3">
      <c r="A63" s="12">
        <v>59.5</v>
      </c>
      <c r="B63" s="12">
        <v>0.88</v>
      </c>
      <c r="C63" s="12">
        <v>20.361000000000001</v>
      </c>
      <c r="D63" s="9">
        <v>4.9619999999999997E-2</v>
      </c>
      <c r="E63" s="12">
        <f t="shared" si="0"/>
        <v>-0.91849999999999998</v>
      </c>
      <c r="F63" s="12">
        <f t="shared" si="1"/>
        <v>-0.33931666666666516</v>
      </c>
      <c r="G63" s="9">
        <f t="shared" si="2"/>
        <v>5.4883333333334561E-4</v>
      </c>
    </row>
  </sheetData>
  <mergeCells count="1"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Thornton-Dunwoody,Alex</dc:creator>
  <cp:lastModifiedBy>Thornton-Dunwoody,Alex</cp:lastModifiedBy>
  <dcterms:created xsi:type="dcterms:W3CDTF">2024-02-13T20:48:50Z</dcterms:created>
  <dcterms:modified xsi:type="dcterms:W3CDTF">2024-02-13T21:07:30Z</dcterms:modified>
</cp:coreProperties>
</file>